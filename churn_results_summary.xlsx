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Results" sheetId="1" state="visible" r:id="rId3"/>
    <sheet name="Feature Importance" sheetId="2" state="visible" r:id="rId4"/>
    <sheet name="Risk Tier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<sst xmlns="http://schemas.openxmlformats.org/spreadsheetml/2006/main" count="82" uniqueCount="79">
  <si>
    <t xml:space="preserve">Model comparison (R, 20% test set, 0.35 cutoff)</t>
  </si>
  <si>
    <t xml:space="preserve">Blue = values copied from the RStudio console; black = formulas</t>
  </si>
  <si>
    <t xml:space="preserve">Model</t>
  </si>
  <si>
    <t xml:space="preserve">AUC</t>
  </si>
  <si>
    <t xml:space="preserve">Accuracy</t>
  </si>
  <si>
    <t xml:space="preserve">Precision</t>
  </si>
  <si>
    <t xml:space="preserve">Recall</t>
  </si>
  <si>
    <t xml:space="preserve">F1 score</t>
  </si>
  <si>
    <t xml:space="preserve">AUC rank</t>
  </si>
  <si>
    <t xml:space="preserve">Logistic Regression</t>
  </si>
  <si>
    <t xml:space="preserve">Decision Tree</t>
  </si>
  <si>
    <t xml:space="preserve">Random Forest</t>
  </si>
  <si>
    <t xml:space="preserve">Gradient Boosting</t>
  </si>
  <si>
    <t xml:space="preserve">Best AUC</t>
  </si>
  <si>
    <t xml:space="preserve">Best recall</t>
  </si>
  <si>
    <t xml:space="preserve">Logistic regression and gradient boosting are effectively tied on AUC; the simpler logistic model is easier to explain.</t>
  </si>
  <si>
    <t xml:space="preserve">Gradient boosting: relative influence of each feature</t>
  </si>
  <si>
    <t xml:space="preserve">Source: summary(gbm_fit) output in RStudio (blue); shares and cumulative % are formulas</t>
  </si>
  <si>
    <t xml:space="preserve">Feature</t>
  </si>
  <si>
    <t xml:space="preserve">Relative influence</t>
  </si>
  <si>
    <t xml:space="preserve">Share of total</t>
  </si>
  <si>
    <t xml:space="preserve">Cumulative share</t>
  </si>
  <si>
    <t xml:space="preserve">Contract</t>
  </si>
  <si>
    <t xml:space="preserve">tenure</t>
  </si>
  <si>
    <t xml:space="preserve">OnlineSecurity</t>
  </si>
  <si>
    <t xml:space="preserve">InternetService</t>
  </si>
  <si>
    <t xml:space="preserve">TotalCharges</t>
  </si>
  <si>
    <t xml:space="preserve">TechSupport</t>
  </si>
  <si>
    <t xml:space="preserve">MonthlyCharges</t>
  </si>
  <si>
    <t xml:space="preserve">PaymentMethod</t>
  </si>
  <si>
    <t xml:space="preserve">PaperlessBilling</t>
  </si>
  <si>
    <t xml:space="preserve">SeniorCitizen</t>
  </si>
  <si>
    <t xml:space="preserve">MultipleLines</t>
  </si>
  <si>
    <t xml:space="preserve">OnlineBackup</t>
  </si>
  <si>
    <t xml:space="preserve">Dependents</t>
  </si>
  <si>
    <t xml:space="preserve">StreamingMovies</t>
  </si>
  <si>
    <t xml:space="preserve">StreamingTV</t>
  </si>
  <si>
    <t xml:space="preserve">PhoneService</t>
  </si>
  <si>
    <t xml:space="preserve">gender</t>
  </si>
  <si>
    <t xml:space="preserve">DeviceProtection</t>
  </si>
  <si>
    <t xml:space="preserve">Partner</t>
  </si>
  <si>
    <t xml:space="preserve">Total</t>
  </si>
  <si>
    <t xml:space="preserve">Retention risk tiers (gradient boosting scores, all 7,043 customers)</t>
  </si>
  <si>
    <t xml:space="preserve">Blue = R console output; black = formulas. Churner counts are estimated from rounded churn rates.</t>
  </si>
  <si>
    <t xml:space="preserve">Tier</t>
  </si>
  <si>
    <t xml:space="preserve">Churn probability</t>
  </si>
  <si>
    <t xml:space="preserve">Customers</t>
  </si>
  <si>
    <t xml:space="preserve">Actual churn rate</t>
  </si>
  <si>
    <t xml:space="preserve">Avg monthly bill ($)</t>
  </si>
  <si>
    <t xml:space="preserve">Share of customers</t>
  </si>
  <si>
    <t xml:space="preserve">Churners (est.)</t>
  </si>
  <si>
    <t xml:space="preserve">Share of all churners</t>
  </si>
  <si>
    <t xml:space="preserve">Annual billing ($)</t>
  </si>
  <si>
    <t xml:space="preserve">Low</t>
  </si>
  <si>
    <t xml:space="preserve">&lt; 30%</t>
  </si>
  <si>
    <t xml:space="preserve">Medium</t>
  </si>
  <si>
    <t xml:space="preserve">30% - 60%</t>
  </si>
  <si>
    <t xml:space="preserve">High</t>
  </si>
  <si>
    <t xml:space="preserve">&gt; 60%</t>
  </si>
  <si>
    <t xml:space="preserve">Medium + High combined</t>
  </si>
  <si>
    <t xml:space="preserve">Churn rate in this group</t>
  </si>
  <si>
    <t xml:space="preserve">High tier annual billing at risk ($)</t>
  </si>
  <si>
    <t xml:space="preserve">Caveat: R scores come from a model trained on 80% of the data and applied to everyone, so tiers are slightly optimistic. The Python version used out-of-fold scores.</t>
  </si>
  <si>
    <t xml:space="preserve">Notes &amp; interpretation</t>
  </si>
  <si>
    <t xml:space="preserve">Telecom customer churn project (7,043 customers, 26.5% churn rate)</t>
  </si>
  <si>
    <t xml:space="preserve">1.</t>
  </si>
  <si>
    <t xml:space="preserve">Logistic regression and gradient boosting tie on AUC (0.846 vs 0.847); the decision tree has the highest recall but the weakest AUC.</t>
  </si>
  <si>
    <t xml:space="preserve">2.</t>
  </si>
  <si>
    <t xml:space="preserve">Contract type (33%) and tenure (18%) are the strongest drivers; Online Security, Internet Service, TotalCharges, Tech Support and MonthlyCharges follow at 7-9% each.</t>
  </si>
  <si>
    <t xml:space="preserve">3.</t>
  </si>
  <si>
    <t xml:space="preserve">Partner, gender and Device Protection contribute almost nothing.</t>
  </si>
  <si>
    <t xml:space="preserve">4.</t>
  </si>
  <si>
    <t xml:space="preserve">Tiers separate customers well: High 74.6% churn, Medium 44.8%, Low 9.7%.</t>
  </si>
  <si>
    <t xml:space="preserve">5.</t>
  </si>
  <si>
    <t xml:space="preserve">Results agree with the earlier Python analysis (gradient boosting AUC about 0.845).</t>
  </si>
  <si>
    <t xml:space="preserve">6.</t>
  </si>
  <si>
    <t xml:space="preserve">Findings are associations, not proof of cause; test retention offers with an A/B design.</t>
  </si>
  <si>
    <t xml:space="preserve">7.</t>
  </si>
  <si>
    <t xml:space="preserve">Glm output showed NA rows (7 singularities) because "No internet/phone service" levels duplicate other columns; harmless.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</si>
</sst>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"/>
    <numFmt numFmtId="167" formatCode="0.0%"/>
    <numFmt numFmtId="168" formatCode="#,##0"/>
    <numFmt numFmtId="169" formatCode="\$#,##0.0"/>
    <numFmt numFmtId="170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64653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Test AUC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'Model Results'!B4</c:f>
              <c:strCache>
                <c:ptCount val="1"/>
                <c:pt idx="0">
                  <c:v>AUC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Results'!$A$5:$A$8</c:f>
              <c:strCache>
                <c:ptCount val="4"/>
                <c:pt idx="0">
                  <c:v>Logistic Regression</c:v>
                </c:pt>
                <c:pt idx="1">
                  <c:v>Decision Tree</c:v>
                </c:pt>
                <c:pt idx="2">
                  <c:v>Random Forest</c:v>
                </c:pt>
                <c:pt idx="3">
                  <c:v>Gradient Boosting</c:v>
                </c:pt>
              </c:strCache>
            </c:strRef>
          </c:cat>
          <c:val>
            <c:numRef>
              <c:f>'Model Results'!$B$5:$B$8</c:f>
              <c:numCache>
                <c:formatCode>0.000</c:formatCode>
                <c:ptCount val="4"/>
                <c:pt idx="0">
                  <c:v>0.846</c:v>
                </c:pt>
                <c:pt idx="1">
                  <c:v>0.812</c:v>
                </c:pt>
                <c:pt idx="2">
                  <c:v>0.833</c:v>
                </c:pt>
                <c:pt idx="3">
                  <c:v>0.847</c:v>
                </c:pt>
              </c:numCache>
            </c:numRef>
          </c:val>
        </c:ser>
        <c:gapWidth val="150"/>
        <c:overlap val="0"/>
        <c:axId val="79161963"/>
        <c:axId val="36156645"/>
      </c:barChart>
      <c:catAx>
        <c:axId val="79161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56645"/>
        <c:crosses val="autoZero"/>
        <c:auto val="1"/>
        <c:lblAlgn val="ctr"/>
        <c:lblOffset val="100"/>
        <c:noMultiLvlLbl val="0"/>
      </c:catAx>
      <c:valAx>
        <c:axId val="36156645"/>
        <c:scaling>
          <c:orientation val="minMax"/>
          <c:max val="0.9"/>
          <c:min val="0.7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619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Relative influence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'Feature Importance'!B4</c:f>
              <c:strCache>
                <c:ptCount val="1"/>
                <c:pt idx="0">
                  <c:v>Relative influence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'Feature Importance'!$A$5:$A$23</c:f>
              <c:strCache>
                <c:ptCount val="19"/>
                <c:pt idx="0">
                  <c:v>Contract</c:v>
                </c:pt>
                <c:pt idx="1">
                  <c:v>tenure</c:v>
                </c:pt>
                <c:pt idx="2">
                  <c:v>OnlineSecurity</c:v>
                </c:pt>
                <c:pt idx="3">
                  <c:v>InternetService</c:v>
                </c:pt>
                <c:pt idx="4">
                  <c:v>TotalCharges</c:v>
                </c:pt>
                <c:pt idx="5">
                  <c:v>TechSupport</c:v>
                </c:pt>
                <c:pt idx="6">
                  <c:v>MonthlyCharges</c:v>
                </c:pt>
                <c:pt idx="7">
                  <c:v>PaymentMethod</c:v>
                </c:pt>
                <c:pt idx="8">
                  <c:v>PaperlessBilling</c:v>
                </c:pt>
                <c:pt idx="9">
                  <c:v>SeniorCitizen</c:v>
                </c:pt>
                <c:pt idx="10">
                  <c:v>MultipleLines</c:v>
                </c:pt>
                <c:pt idx="11">
                  <c:v>OnlineBackup</c:v>
                </c:pt>
                <c:pt idx="12">
                  <c:v>Dependents</c:v>
                </c:pt>
                <c:pt idx="13">
                  <c:v>StreamingMovies</c:v>
                </c:pt>
                <c:pt idx="14">
                  <c:v>StreamingTV</c:v>
                </c:pt>
                <c:pt idx="15">
                  <c:v>PhoneService</c:v>
                </c:pt>
                <c:pt idx="16">
                  <c:v>gender</c:v>
                </c:pt>
                <c:pt idx="17">
                  <c:v>DeviceProtection</c:v>
                </c:pt>
                <c:pt idx="18">
                  <c:v>Partner</c:v>
                </c:pt>
              </c:strCache>
            </c:strRef>
          </c:cat>
          <c:val>
            <c:numRef>
              <c:f>'Feature Importance'!$B$5:$B$23</c:f>
              <c:numCache>
                <c:formatCode>0.00</c:formatCode>
                <c:ptCount val="19"/>
                <c:pt idx="0">
                  <c:v>33.25047582</c:v>
                </c:pt>
                <c:pt idx="1">
                  <c:v>18.03582231</c:v>
                </c:pt>
                <c:pt idx="2">
                  <c:v>8.51782206</c:v>
                </c:pt>
                <c:pt idx="3">
                  <c:v>7.59063655</c:v>
                </c:pt>
                <c:pt idx="4">
                  <c:v>7.1091691</c:v>
                </c:pt>
                <c:pt idx="5">
                  <c:v>6.85977612</c:v>
                </c:pt>
                <c:pt idx="6">
                  <c:v>6.73402398</c:v>
                </c:pt>
                <c:pt idx="7">
                  <c:v>5.68255637</c:v>
                </c:pt>
                <c:pt idx="8">
                  <c:v>1.41523318</c:v>
                </c:pt>
                <c:pt idx="9">
                  <c:v>1.29741086</c:v>
                </c:pt>
                <c:pt idx="10">
                  <c:v>1.19645813</c:v>
                </c:pt>
                <c:pt idx="11">
                  <c:v>0.83512915</c:v>
                </c:pt>
                <c:pt idx="12">
                  <c:v>0.47681131</c:v>
                </c:pt>
                <c:pt idx="13">
                  <c:v>0.39153155</c:v>
                </c:pt>
                <c:pt idx="14">
                  <c:v>0.24741228</c:v>
                </c:pt>
                <c:pt idx="15">
                  <c:v>0.19684999</c:v>
                </c:pt>
                <c:pt idx="16">
                  <c:v>0.11516244</c:v>
                </c:pt>
                <c:pt idx="17">
                  <c:v>0.04771876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29761808"/>
        <c:axId val="36430718"/>
      </c:barChart>
      <c:catAx>
        <c:axId val="297618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30718"/>
        <c:crosses val="autoZero"/>
        <c:auto val="1"/>
        <c:lblAlgn val="ctr"/>
        <c:lblOffset val="100"/>
        <c:noMultiLvlLbl val="0"/>
      </c:catAx>
      <c:valAx>
        <c:axId val="36430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618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16</xdr:col>
      <xdr:colOff>147600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751896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147600</xdr:colOff>
      <xdr:row>22</xdr:row>
      <xdr:rowOff>159840</xdr:rowOff>
    </xdr:to>
    <xdr:graphicFrame>
      <xdr:nvGraphicFramePr>
        <xdr:cNvPr id="1" name="Chart 1"/>
        <xdr:cNvGraphicFramePr/>
      </xdr:nvGraphicFramePr>
      <xdr:xfrm>
        <a:off x="5968440" y="5716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0.846</v>
      </c>
      <c r="C5" s="5" t="n">
        <v>0.78</v>
      </c>
      <c r="D5" s="5" t="n">
        <v>0.569</v>
      </c>
      <c r="E5" s="5" t="n">
        <v>0.708</v>
      </c>
      <c r="F5" s="6" t="n">
        <f aca="false">IFERROR(2*D5*E5/(D5+E5),0)</f>
        <v>0.630935003915427</v>
      </c>
      <c r="G5" s="4" t="n">
        <f aca="false">RANK(B5,$B$5:$B$8)</f>
        <v>2</v>
      </c>
    </row>
    <row r="6" customFormat="false" ht="15" hidden="false" customHeight="false" outlineLevel="0" collapsed="false">
      <c r="A6" s="4" t="s">
        <v>10</v>
      </c>
      <c r="B6" s="5" t="n">
        <v>0.812</v>
      </c>
      <c r="C6" s="5" t="n">
        <v>0.775</v>
      </c>
      <c r="D6" s="5" t="n">
        <v>0.558</v>
      </c>
      <c r="E6" s="5" t="n">
        <v>0.721</v>
      </c>
      <c r="F6" s="6" t="n">
        <f aca="false">IFERROR(2*D6*E6/(D6+E6),0)</f>
        <v>0.629113369820172</v>
      </c>
      <c r="G6" s="4" t="n">
        <f aca="false">RANK(B6,$B$5:$B$8)</f>
        <v>4</v>
      </c>
    </row>
    <row r="7" customFormat="false" ht="15" hidden="false" customHeight="false" outlineLevel="0" collapsed="false">
      <c r="A7" s="4" t="s">
        <v>11</v>
      </c>
      <c r="B7" s="5" t="n">
        <v>0.833</v>
      </c>
      <c r="C7" s="5" t="n">
        <v>0.782</v>
      </c>
      <c r="D7" s="5" t="n">
        <v>0.577</v>
      </c>
      <c r="E7" s="5" t="n">
        <v>0.665</v>
      </c>
      <c r="F7" s="6" t="n">
        <f aca="false">IFERROR(2*D7*E7/(D7+E7),0)</f>
        <v>0.617882447665056</v>
      </c>
      <c r="G7" s="4" t="n">
        <f aca="false">RANK(B7,$B$5:$B$8)</f>
        <v>3</v>
      </c>
    </row>
    <row r="8" customFormat="false" ht="15" hidden="false" customHeight="false" outlineLevel="0" collapsed="false">
      <c r="A8" s="4" t="s">
        <v>12</v>
      </c>
      <c r="B8" s="5" t="n">
        <v>0.847</v>
      </c>
      <c r="C8" s="5" t="n">
        <v>0.787</v>
      </c>
      <c r="D8" s="5" t="n">
        <v>0.582</v>
      </c>
      <c r="E8" s="5" t="n">
        <v>0.694</v>
      </c>
      <c r="F8" s="6" t="n">
        <f aca="false">IFERROR(2*D8*E8/(D8+E8),0)</f>
        <v>0.633084639498433</v>
      </c>
      <c r="G8" s="4" t="n">
        <f aca="false">RANK(B8,$B$5:$B$8)</f>
        <v>1</v>
      </c>
    </row>
    <row r="10" customFormat="false" ht="15" hidden="false" customHeight="false" outlineLevel="0" collapsed="false">
      <c r="A10" s="7" t="s">
        <v>13</v>
      </c>
      <c r="B10" s="8" t="str">
        <f aca="false">INDEX(A5:A8,MATCH(MAX(B5:B8),B5:B8,0))</f>
        <v>Gradient Boosting</v>
      </c>
    </row>
    <row r="11" customFormat="false" ht="15" hidden="false" customHeight="false" outlineLevel="0" collapsed="false">
      <c r="A11" s="7" t="s">
        <v>14</v>
      </c>
      <c r="B11" s="8" t="str">
        <f aca="false">INDEX(A5:A8,MATCH(MAX(E5:E8),E5:E8,0))</f>
        <v>Decision Tree</v>
      </c>
    </row>
    <row r="13" customFormat="false" ht="15" hidden="false" customHeight="false" outlineLevel="0" collapsed="false">
      <c r="A13" s="9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26.85" hidden="false" customHeight="false" outlineLevel="0" collapsed="false">
      <c r="A4" s="3" t="s">
        <v>18</v>
      </c>
      <c r="B4" s="3" t="s">
        <v>19</v>
      </c>
      <c r="C4" s="3" t="s">
        <v>20</v>
      </c>
      <c r="D4" s="3" t="s">
        <v>21</v>
      </c>
    </row>
    <row r="5" customFormat="false" ht="15" hidden="false" customHeight="false" outlineLevel="0" collapsed="false">
      <c r="A5" s="4" t="s">
        <v>22</v>
      </c>
      <c r="B5" s="10" t="n">
        <v>33.25047582</v>
      </c>
      <c r="C5" s="11" t="n">
        <f aca="false">B5/SUM($B$5:$B$23)</f>
        <v>0.332504758333002</v>
      </c>
      <c r="D5" s="11" t="n">
        <f aca="false">SUM($C$5:C5)</f>
        <v>0.332504758333002</v>
      </c>
    </row>
    <row r="6" customFormat="false" ht="15" hidden="false" customHeight="false" outlineLevel="0" collapsed="false">
      <c r="A6" s="4" t="s">
        <v>23</v>
      </c>
      <c r="B6" s="10" t="n">
        <v>18.03582231</v>
      </c>
      <c r="C6" s="11" t="n">
        <f aca="false">B6/SUM($B$5:$B$23)</f>
        <v>0.180358223172143</v>
      </c>
      <c r="D6" s="11" t="n">
        <f aca="false">SUM($C$5:C6)</f>
        <v>0.512862981505145</v>
      </c>
    </row>
    <row r="7" customFormat="false" ht="15" hidden="false" customHeight="false" outlineLevel="0" collapsed="false">
      <c r="A7" s="4" t="s">
        <v>24</v>
      </c>
      <c r="B7" s="10" t="n">
        <v>8.51782206</v>
      </c>
      <c r="C7" s="11" t="n">
        <f aca="false">B7/SUM($B$5:$B$23)</f>
        <v>0.0851782206340713</v>
      </c>
      <c r="D7" s="11" t="n">
        <f aca="false">SUM($C$5:C7)</f>
        <v>0.598041202139217</v>
      </c>
    </row>
    <row r="8" customFormat="false" ht="15" hidden="false" customHeight="false" outlineLevel="0" collapsed="false">
      <c r="A8" s="4" t="s">
        <v>25</v>
      </c>
      <c r="B8" s="10" t="n">
        <v>7.59063655</v>
      </c>
      <c r="C8" s="11" t="n">
        <f aca="false">B8/SUM($B$5:$B$23)</f>
        <v>0.0759063655303626</v>
      </c>
      <c r="D8" s="11" t="n">
        <f aca="false">SUM($C$5:C8)</f>
        <v>0.673947567669579</v>
      </c>
    </row>
    <row r="9" customFormat="false" ht="15" hidden="false" customHeight="false" outlineLevel="0" collapsed="false">
      <c r="A9" s="4" t="s">
        <v>26</v>
      </c>
      <c r="B9" s="10" t="n">
        <v>7.1091691</v>
      </c>
      <c r="C9" s="11" t="n">
        <f aca="false">B9/SUM($B$5:$B$23)</f>
        <v>0.0710916910284367</v>
      </c>
      <c r="D9" s="11" t="n">
        <f aca="false">SUM($C$5:C9)</f>
        <v>0.745039258698016</v>
      </c>
    </row>
    <row r="10" customFormat="false" ht="15" hidden="false" customHeight="false" outlineLevel="0" collapsed="false">
      <c r="A10" s="4" t="s">
        <v>27</v>
      </c>
      <c r="B10" s="10" t="n">
        <v>6.85977612</v>
      </c>
      <c r="C10" s="11" t="n">
        <f aca="false">B10/SUM($B$5:$B$23)</f>
        <v>0.0685977612274391</v>
      </c>
      <c r="D10" s="11" t="n">
        <f aca="false">SUM($C$5:C10)</f>
        <v>0.813637019925455</v>
      </c>
    </row>
    <row r="11" customFormat="false" ht="15" hidden="false" customHeight="false" outlineLevel="0" collapsed="false">
      <c r="A11" s="4" t="s">
        <v>28</v>
      </c>
      <c r="B11" s="10" t="n">
        <v>6.73402398</v>
      </c>
      <c r="C11" s="11" t="n">
        <f aca="false">B11/SUM($B$5:$B$23)</f>
        <v>0.0673402398269361</v>
      </c>
      <c r="D11" s="11" t="n">
        <f aca="false">SUM($C$5:C11)</f>
        <v>0.880977259752391</v>
      </c>
    </row>
    <row r="12" customFormat="false" ht="15" hidden="false" customHeight="false" outlineLevel="0" collapsed="false">
      <c r="A12" s="4" t="s">
        <v>29</v>
      </c>
      <c r="B12" s="10" t="n">
        <v>5.68255637</v>
      </c>
      <c r="C12" s="11" t="n">
        <f aca="false">B12/SUM($B$5:$B$23)</f>
        <v>0.0568255637227302</v>
      </c>
      <c r="D12" s="11" t="n">
        <f aca="false">SUM($C$5:C12)</f>
        <v>0.937802823475121</v>
      </c>
    </row>
    <row r="13" customFormat="false" ht="15" hidden="false" customHeight="false" outlineLevel="0" collapsed="false">
      <c r="A13" s="4" t="s">
        <v>30</v>
      </c>
      <c r="B13" s="10" t="n">
        <v>1.41523318</v>
      </c>
      <c r="C13" s="11" t="n">
        <f aca="false">B13/SUM($B$5:$B$23)</f>
        <v>0.0141523318056609</v>
      </c>
      <c r="D13" s="11" t="n">
        <f aca="false">SUM($C$5:C13)</f>
        <v>0.951955155280782</v>
      </c>
    </row>
    <row r="14" customFormat="false" ht="15" hidden="false" customHeight="false" outlineLevel="0" collapsed="false">
      <c r="A14" s="4" t="s">
        <v>31</v>
      </c>
      <c r="B14" s="10" t="n">
        <v>1.29741086</v>
      </c>
      <c r="C14" s="11" t="n">
        <f aca="false">B14/SUM($B$5:$B$23)</f>
        <v>0.0129741086051896</v>
      </c>
      <c r="D14" s="11" t="n">
        <f aca="false">SUM($C$5:C14)</f>
        <v>0.964929263885972</v>
      </c>
    </row>
    <row r="15" customFormat="false" ht="15" hidden="false" customHeight="false" outlineLevel="0" collapsed="false">
      <c r="A15" s="4" t="s">
        <v>32</v>
      </c>
      <c r="B15" s="10" t="n">
        <v>1.19645813</v>
      </c>
      <c r="C15" s="11" t="n">
        <f aca="false">B15/SUM($B$5:$B$23)</f>
        <v>0.0119645813047858</v>
      </c>
      <c r="D15" s="11" t="n">
        <f aca="false">SUM($C$5:C15)</f>
        <v>0.976893845190758</v>
      </c>
    </row>
    <row r="16" customFormat="false" ht="15" hidden="false" customHeight="false" outlineLevel="0" collapsed="false">
      <c r="A16" s="4" t="s">
        <v>33</v>
      </c>
      <c r="B16" s="10" t="n">
        <v>0.83512915</v>
      </c>
      <c r="C16" s="11" t="n">
        <f aca="false">B16/SUM($B$5:$B$23)</f>
        <v>0.00835129150334052</v>
      </c>
      <c r="D16" s="11" t="n">
        <f aca="false">SUM($C$5:C16)</f>
        <v>0.985245136694098</v>
      </c>
    </row>
    <row r="17" customFormat="false" ht="15" hidden="false" customHeight="false" outlineLevel="0" collapsed="false">
      <c r="A17" s="4" t="s">
        <v>34</v>
      </c>
      <c r="B17" s="10" t="n">
        <v>0.47681131</v>
      </c>
      <c r="C17" s="11" t="n">
        <f aca="false">B17/SUM($B$5:$B$23)</f>
        <v>0.00476811310190725</v>
      </c>
      <c r="D17" s="11" t="n">
        <f aca="false">SUM($C$5:C17)</f>
        <v>0.990013249796005</v>
      </c>
    </row>
    <row r="18" customFormat="false" ht="15" hidden="false" customHeight="false" outlineLevel="0" collapsed="false">
      <c r="A18" s="4" t="s">
        <v>35</v>
      </c>
      <c r="B18" s="10" t="n">
        <v>0.39153155</v>
      </c>
      <c r="C18" s="11" t="n">
        <f aca="false">B18/SUM($B$5:$B$23)</f>
        <v>0.00391531550156613</v>
      </c>
      <c r="D18" s="11" t="n">
        <f aca="false">SUM($C$5:C18)</f>
        <v>0.993928565297572</v>
      </c>
    </row>
    <row r="19" customFormat="false" ht="15" hidden="false" customHeight="false" outlineLevel="0" collapsed="false">
      <c r="A19" s="4" t="s">
        <v>36</v>
      </c>
      <c r="B19" s="10" t="n">
        <v>0.24741228</v>
      </c>
      <c r="C19" s="11" t="n">
        <f aca="false">B19/SUM($B$5:$B$23)</f>
        <v>0.00247412280098965</v>
      </c>
      <c r="D19" s="11" t="n">
        <f aca="false">SUM($C$5:C19)</f>
        <v>0.996402688098561</v>
      </c>
    </row>
    <row r="20" customFormat="false" ht="15" hidden="false" customHeight="false" outlineLevel="0" collapsed="false">
      <c r="A20" s="4" t="s">
        <v>37</v>
      </c>
      <c r="B20" s="10" t="n">
        <v>0.19684999</v>
      </c>
      <c r="C20" s="11" t="n">
        <f aca="false">B20/SUM($B$5:$B$23)</f>
        <v>0.0019684999007874</v>
      </c>
      <c r="D20" s="11" t="n">
        <f aca="false">SUM($C$5:C20)</f>
        <v>0.998371187999349</v>
      </c>
    </row>
    <row r="21" customFormat="false" ht="15" hidden="false" customHeight="false" outlineLevel="0" collapsed="false">
      <c r="A21" s="4" t="s">
        <v>38</v>
      </c>
      <c r="B21" s="10" t="n">
        <v>0.11516244</v>
      </c>
      <c r="C21" s="11" t="n">
        <f aca="false">B21/SUM($B$5:$B$23)</f>
        <v>0.00115162440046065</v>
      </c>
      <c r="D21" s="11" t="n">
        <f aca="false">SUM($C$5:C21)</f>
        <v>0.999522812399809</v>
      </c>
    </row>
    <row r="22" customFormat="false" ht="15" hidden="false" customHeight="false" outlineLevel="0" collapsed="false">
      <c r="A22" s="4" t="s">
        <v>39</v>
      </c>
      <c r="B22" s="10" t="n">
        <v>0.04771876</v>
      </c>
      <c r="C22" s="11" t="n">
        <f aca="false">B22/SUM($B$5:$B$23)</f>
        <v>0.000477187600190875</v>
      </c>
      <c r="D22" s="11" t="n">
        <f aca="false">SUM($C$5:C22)</f>
        <v>1</v>
      </c>
    </row>
    <row r="23" customFormat="false" ht="15" hidden="false" customHeight="false" outlineLevel="0" collapsed="false">
      <c r="A23" s="4" t="s">
        <v>40</v>
      </c>
      <c r="B23" s="10" t="n">
        <v>0</v>
      </c>
      <c r="C23" s="11" t="n">
        <f aca="false">B23/SUM($B$5:$B$23)</f>
        <v>0</v>
      </c>
      <c r="D23" s="11" t="n">
        <f aca="false">SUM($C$5:C23)</f>
        <v>1</v>
      </c>
    </row>
    <row r="24" customFormat="false" ht="15" hidden="false" customHeight="false" outlineLevel="0" collapsed="false">
      <c r="A24" s="7" t="s">
        <v>41</v>
      </c>
      <c r="B24" s="12" t="n">
        <f aca="false">SUM(B5:B23)</f>
        <v>99.99999996</v>
      </c>
      <c r="C24" s="13" t="n">
        <f aca="false">SUM(C5:C23)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1.5" hidden="false" customHeight="tru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</row>
    <row r="5" customFormat="false" ht="15" hidden="false" customHeight="false" outlineLevel="0" collapsed="false">
      <c r="A5" s="14" t="s">
        <v>53</v>
      </c>
      <c r="B5" s="4" t="s">
        <v>54</v>
      </c>
      <c r="C5" s="15" t="n">
        <v>4511</v>
      </c>
      <c r="D5" s="16" t="n">
        <v>0.0973</v>
      </c>
      <c r="E5" s="17" t="n">
        <v>58.5</v>
      </c>
      <c r="F5" s="11" t="n">
        <f aca="false">C5/$C$8</f>
        <v>0.640494107624592</v>
      </c>
      <c r="G5" s="18" t="n">
        <f aca="false">C5*D5</f>
        <v>438.9203</v>
      </c>
      <c r="H5" s="11" t="n">
        <f aca="false">G5/$G$8</f>
        <v>0.23474607495065</v>
      </c>
      <c r="I5" s="19" t="n">
        <f aca="false">C5*E5*12</f>
        <v>3166722</v>
      </c>
    </row>
    <row r="6" customFormat="false" ht="15" hidden="false" customHeight="false" outlineLevel="0" collapsed="false">
      <c r="A6" s="14" t="s">
        <v>55</v>
      </c>
      <c r="B6" s="4" t="s">
        <v>56</v>
      </c>
      <c r="C6" s="15" t="n">
        <v>1537</v>
      </c>
      <c r="D6" s="16" t="n">
        <v>0.448</v>
      </c>
      <c r="E6" s="17" t="n">
        <v>73.6</v>
      </c>
      <c r="F6" s="11" t="n">
        <f aca="false">C6/$C$8</f>
        <v>0.218230867528042</v>
      </c>
      <c r="G6" s="18" t="n">
        <f aca="false">C6*D6</f>
        <v>688.576</v>
      </c>
      <c r="H6" s="11" t="n">
        <f aca="false">G6/$G$8</f>
        <v>0.368268483606748</v>
      </c>
      <c r="I6" s="19" t="n">
        <f aca="false">C6*E6*12</f>
        <v>1357478.4</v>
      </c>
    </row>
    <row r="7" customFormat="false" ht="15" hidden="false" customHeight="false" outlineLevel="0" collapsed="false">
      <c r="A7" s="14" t="s">
        <v>57</v>
      </c>
      <c r="B7" s="4" t="s">
        <v>58</v>
      </c>
      <c r="C7" s="15" t="n">
        <v>995</v>
      </c>
      <c r="D7" s="16" t="n">
        <v>0.746</v>
      </c>
      <c r="E7" s="17" t="n">
        <v>79.4</v>
      </c>
      <c r="F7" s="11" t="n">
        <f aca="false">C7/$C$8</f>
        <v>0.141275024847366</v>
      </c>
      <c r="G7" s="18" t="n">
        <f aca="false">C7*D7</f>
        <v>742.27</v>
      </c>
      <c r="H7" s="11" t="n">
        <f aca="false">G7/$G$8</f>
        <v>0.396985441442602</v>
      </c>
      <c r="I7" s="19" t="n">
        <f aca="false">C7*E7*12</f>
        <v>948036</v>
      </c>
    </row>
    <row r="8" customFormat="false" ht="15" hidden="false" customHeight="false" outlineLevel="0" collapsed="false">
      <c r="A8" s="7" t="s">
        <v>41</v>
      </c>
      <c r="B8" s="7"/>
      <c r="C8" s="20" t="n">
        <f aca="false">SUM(C5:C7)</f>
        <v>7043</v>
      </c>
      <c r="D8" s="13" t="n">
        <f aca="false">G8/C8</f>
        <v>0.265478673860571</v>
      </c>
      <c r="E8" s="21" t="n">
        <f aca="false">I8/(C8*12)</f>
        <v>64.7479341189834</v>
      </c>
      <c r="F8" s="13" t="n">
        <f aca="false">SUM(F5:F7)</f>
        <v>1</v>
      </c>
      <c r="G8" s="20" t="n">
        <f aca="false">SUM(G5:G7)</f>
        <v>1869.7663</v>
      </c>
      <c r="H8" s="13" t="n">
        <f aca="false">SUM(H5:H7)</f>
        <v>1</v>
      </c>
      <c r="I8" s="22" t="n">
        <f aca="false">SUM(I5:I7)</f>
        <v>5472236.4</v>
      </c>
    </row>
    <row r="10" customFormat="false" ht="15" hidden="false" customHeight="false" outlineLevel="0" collapsed="false">
      <c r="A10" s="7" t="s">
        <v>59</v>
      </c>
    </row>
    <row r="11" customFormat="false" ht="15" hidden="false" customHeight="false" outlineLevel="0" collapsed="false">
      <c r="A11" s="8" t="s">
        <v>49</v>
      </c>
      <c r="C11" s="23" t="n">
        <f aca="false">(C6+C7)/C8</f>
        <v>0.359505892375408</v>
      </c>
    </row>
    <row r="12" customFormat="false" ht="15" hidden="false" customHeight="false" outlineLevel="0" collapsed="false">
      <c r="A12" s="8" t="s">
        <v>51</v>
      </c>
      <c r="C12" s="23" t="n">
        <f aca="false">(G6+G7)/G8</f>
        <v>0.76525392504935</v>
      </c>
    </row>
    <row r="13" customFormat="false" ht="15" hidden="false" customHeight="false" outlineLevel="0" collapsed="false">
      <c r="A13" s="8" t="s">
        <v>60</v>
      </c>
      <c r="C13" s="23" t="n">
        <f aca="false">(G6+G7)/(C6+C7)</f>
        <v>0.565105055292259</v>
      </c>
    </row>
    <row r="14" customFormat="false" ht="15" hidden="false" customHeight="false" outlineLevel="0" collapsed="false">
      <c r="A14" s="8" t="s">
        <v>61</v>
      </c>
      <c r="C14" s="24" t="n">
        <f aca="false">I7*D7</f>
        <v>707234.856</v>
      </c>
    </row>
    <row r="16" customFormat="false" ht="15" hidden="false" customHeight="false" outlineLevel="0" collapsed="false">
      <c r="A16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26.85" hidden="false" customHeight="false" outlineLevel="0" collapsed="false">
      <c r="A4" s="8" t="s">
        <v>65</v>
      </c>
      <c r="B4" s="25" t="s">
        <v>66</v>
      </c>
    </row>
    <row r="5" customFormat="false" ht="26.85" hidden="false" customHeight="false" outlineLevel="0" collapsed="false">
      <c r="A5" s="8" t="s">
        <v>67</v>
      </c>
      <c r="B5" s="25" t="s">
        <v>68</v>
      </c>
    </row>
    <row r="6" customFormat="false" ht="15" hidden="false" customHeight="false" outlineLevel="0" collapsed="false">
      <c r="A6" s="8" t="s">
        <v>69</v>
      </c>
      <c r="B6" s="25" t="s">
        <v>70</v>
      </c>
    </row>
    <row r="7" customFormat="false" ht="15" hidden="false" customHeight="false" outlineLevel="0" collapsed="false">
      <c r="A7" s="8" t="s">
        <v>71</v>
      </c>
      <c r="B7" s="25" t="s">
        <v>72</v>
      </c>
    </row>
    <row r="8" customFormat="false" ht="15" hidden="false" customHeight="false" outlineLevel="0" collapsed="false">
      <c r="A8" s="8" t="s">
        <v>73</v>
      </c>
      <c r="B8" s="25" t="s">
        <v>74</v>
      </c>
    </row>
    <row r="9" customFormat="false" ht="15" hidden="false" customHeight="false" outlineLevel="0" collapsed="false">
      <c r="A9" s="8" t="s">
        <v>75</v>
      </c>
      <c r="B9" s="25" t="s">
        <v>76</v>
      </c>
    </row>
    <row r="10" customFormat="false" ht="26.85" hidden="false" customHeight="false" outlineLevel="0" collapsed="false">
      <c r="A10" s="8" t="s">
        <v>77</v>
      </c>
      <c r="B10" s="2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2026-10-17T20:24:41Z</dcterms:created>
  <dc:creator>openpyxl</dc:creator>
  <dc:description/>
  <dc:language>en-US</dc:language>
  <cp:lastModifiedBy/>
  <dcterms:modified xsi:type="dcterms:W3CDTF">2026-10-17T20:24:43Z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